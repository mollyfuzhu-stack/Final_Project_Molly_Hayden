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masteru365-my.sharepoint.com/personal/dobrim1_mcmaster_ca/Documents/Courses/BIO 708/DATA SET/"/>
    </mc:Choice>
  </mc:AlternateContent>
  <xr:revisionPtr revIDLastSave="45" documentId="8_{87AAA239-E22A-4D05-8366-505CB9F80FF3}" xr6:coauthVersionLast="47" xr6:coauthVersionMax="47" xr10:uidLastSave="{641DB0D6-45AF-4B48-935C-A1427F64BB3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Analysis!$A$1:$V$81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" l="1"/>
  <c r="R27" i="1"/>
  <c r="R41" i="1"/>
  <c r="R29" i="1"/>
  <c r="R28" i="1"/>
  <c r="V41" i="1"/>
  <c r="V29" i="1"/>
  <c r="V28" i="1"/>
  <c r="V27" i="1"/>
  <c r="U41" i="1"/>
  <c r="Q41" i="1"/>
  <c r="Q29" i="1"/>
  <c r="U29" i="1"/>
  <c r="Q28" i="1"/>
  <c r="U28" i="1"/>
  <c r="U27" i="1"/>
</calcChain>
</file>

<file path=xl/sharedStrings.xml><?xml version="1.0" encoding="utf-8"?>
<sst xmlns="http://schemas.openxmlformats.org/spreadsheetml/2006/main" count="175" uniqueCount="37">
  <si>
    <t>s</t>
  </si>
  <si>
    <t>Trial     5</t>
  </si>
  <si>
    <t>A1</t>
  </si>
  <si>
    <t>B1</t>
  </si>
  <si>
    <t>C1</t>
  </si>
  <si>
    <t>D1</t>
  </si>
  <si>
    <t>Trial     6</t>
  </si>
  <si>
    <t>Trial     7</t>
  </si>
  <si>
    <t>Trial     8</t>
  </si>
  <si>
    <t>Trial     9</t>
  </si>
  <si>
    <t>A3</t>
  </si>
  <si>
    <t>B3</t>
  </si>
  <si>
    <t>C3</t>
  </si>
  <si>
    <t>D3</t>
  </si>
  <si>
    <t>A2</t>
  </si>
  <si>
    <t>B2</t>
  </si>
  <si>
    <t>C2</t>
  </si>
  <si>
    <t>D2</t>
  </si>
  <si>
    <t>A4</t>
  </si>
  <si>
    <t>B4</t>
  </si>
  <si>
    <t>C4</t>
  </si>
  <si>
    <t>D4</t>
  </si>
  <si>
    <t>-</t>
  </si>
  <si>
    <t>Max velocity</t>
  </si>
  <si>
    <t>Time at edge</t>
  </si>
  <si>
    <t>Treatment</t>
  </si>
  <si>
    <t>Trial</t>
  </si>
  <si>
    <t>Well</t>
  </si>
  <si>
    <t>Mean velocity (mm/s)</t>
  </si>
  <si>
    <t>Total distance moved (mm)</t>
  </si>
  <si>
    <t>Time at edge (s)</t>
  </si>
  <si>
    <t>Max velocity (mm/s)</t>
  </si>
  <si>
    <t>Total time moving (s)</t>
  </si>
  <si>
    <t>Time to move (s)</t>
  </si>
  <si>
    <t>Frequency not moving</t>
  </si>
  <si>
    <t>Total time not moving (s)</t>
  </si>
  <si>
    <t>Frequency at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</si>
</sst>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26-2546-A5EE-3E3FDB4FF47E}"/>
              </c:ext>
            </c:extLst>
          </c:dPt>
          <c:errBars>
            <c:errBarType val="both"/>
            <c:errValType val="cust"/>
            <c:noEndCap val="0"/>
            <c:plus>
              <c:numRef>
                <c:f>Analysis!$R$26:$R$29</c:f>
                <c:numCache>
                  <c:formatCode>General</c:formatCode>
                  <c:ptCount val="4"/>
                  <c:pt idx="1">
                    <c:v>58.461682105947212</c:v>
                  </c:pt>
                  <c:pt idx="2">
                    <c:v>57.478340882113066</c:v>
                  </c:pt>
                  <c:pt idx="3">
                    <c:v>67.293519868033641</c:v>
                  </c:pt>
                </c:numCache>
              </c:numRef>
            </c:plus>
            <c:minus>
              <c:numRef>
                <c:f>Analysis!$R$26:$R$29</c:f>
                <c:numCache>
                  <c:formatCode>General</c:formatCode>
                  <c:ptCount val="4"/>
                  <c:pt idx="1">
                    <c:v>58.461682105947212</c:v>
                  </c:pt>
                  <c:pt idx="2">
                    <c:v>57.478340882113066</c:v>
                  </c:pt>
                  <c:pt idx="3">
                    <c:v>67.293519868033641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Analysis!$P$26:$P$29</c:f>
              <c:numCache>
                <c:formatCode>General</c:formatCode>
                <c:ptCount val="4"/>
                <c:pt idx="1">
                  <c:v>0</c:v>
                </c:pt>
                <c:pt idx="2">
                  <c:v>0.25</c:v>
                </c:pt>
                <c:pt idx="3">
                  <c:v>0.5</c:v>
                </c:pt>
              </c:numCache>
            </c:numRef>
          </c:cat>
          <c:val>
            <c:numRef>
              <c:f>Analysis!$Q$26:$Q$29</c:f>
              <c:numCache>
                <c:formatCode>General</c:formatCode>
                <c:ptCount val="4"/>
                <c:pt idx="0">
                  <c:v>0</c:v>
                </c:pt>
                <c:pt idx="1">
                  <c:v>784.52042105263149</c:v>
                </c:pt>
                <c:pt idx="2">
                  <c:v>695.36945000000003</c:v>
                </c:pt>
                <c:pt idx="3">
                  <c:v>635.99595999999997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6-2546-A5EE-3E3FDB4F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93184"/>
        <c:axId val="34708528"/>
      </c:barChart>
      <c:catAx>
        <c:axId val="3999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8528"/>
        <c:crosses val="autoZero"/>
        <c:auto val="1"/>
        <c:lblAlgn val="ctr"/>
        <c:lblOffset val="100"/>
        <c:noMultiLvlLbl val="0"/>
      </c:catAx>
      <c:valAx>
        <c:axId val="3470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26-2546-A5EE-3E3FDB4FF47E}"/>
              </c:ext>
            </c:extLst>
          </c:dPt>
          <c:errBars>
            <c:errBarType val="both"/>
            <c:errValType val="cust"/>
            <c:noEndCap val="0"/>
            <c:plus>
              <c:numRef>
                <c:f>Analysis!$V$26:$V$29</c:f>
                <c:numCache>
                  <c:formatCode>General</c:formatCode>
                  <c:ptCount val="4"/>
                  <c:pt idx="1">
                    <c:v>3.4173961989764519</c:v>
                  </c:pt>
                  <c:pt idx="2">
                    <c:v>2.4107428282629031</c:v>
                  </c:pt>
                  <c:pt idx="3">
                    <c:v>3.0805487161165224</c:v>
                  </c:pt>
                </c:numCache>
              </c:numRef>
            </c:plus>
            <c:minus>
              <c:numRef>
                <c:f>Analysis!$V$26:$V$29</c:f>
                <c:numCache>
                  <c:formatCode>General</c:formatCode>
                  <c:ptCount val="4"/>
                  <c:pt idx="1">
                    <c:v>3.4173961989764519</c:v>
                  </c:pt>
                  <c:pt idx="2">
                    <c:v>2.4107428282629031</c:v>
                  </c:pt>
                  <c:pt idx="3">
                    <c:v>3.0805487161165224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Analysis!$P$26:$P$29</c:f>
              <c:numCache>
                <c:formatCode>General</c:formatCode>
                <c:ptCount val="4"/>
                <c:pt idx="1">
                  <c:v>0</c:v>
                </c:pt>
                <c:pt idx="2">
                  <c:v>0.25</c:v>
                </c:pt>
                <c:pt idx="3">
                  <c:v>0.5</c:v>
                </c:pt>
              </c:numCache>
            </c:numRef>
          </c:cat>
          <c:val>
            <c:numRef>
              <c:f>Analysis!$U$26:$U$29</c:f>
              <c:numCache>
                <c:formatCode>General</c:formatCode>
                <c:ptCount val="4"/>
                <c:pt idx="0">
                  <c:v>0</c:v>
                </c:pt>
                <c:pt idx="1">
                  <c:v>39.519657894736838</c:v>
                </c:pt>
                <c:pt idx="2">
                  <c:v>33.307760000000009</c:v>
                </c:pt>
                <c:pt idx="3">
                  <c:v>34.435648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6-2546-A5EE-3E3FDB4F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93184"/>
        <c:axId val="34708528"/>
      </c:barChart>
      <c:catAx>
        <c:axId val="3999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8528"/>
        <c:crosses val="autoZero"/>
        <c:auto val="1"/>
        <c:lblAlgn val="ctr"/>
        <c:lblOffset val="100"/>
        <c:noMultiLvlLbl val="0"/>
      </c:catAx>
      <c:valAx>
        <c:axId val="3470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</xdr:colOff>
      <xdr:row>29</xdr:row>
      <xdr:rowOff>114300</xdr:rowOff>
    </xdr:from>
    <xdr:to>
      <xdr:col>19</xdr:col>
      <xdr:colOff>279400</xdr:colOff>
      <xdr:row>41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EF208F-E2C7-3209-1549-8DC37DD8B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768350</xdr:colOff>
      <xdr:row>29</xdr:row>
      <xdr:rowOff>101600</xdr:rowOff>
    </xdr:from>
    <xdr:to>
      <xdr:col>24</xdr:col>
      <xdr:colOff>584200</xdr:colOff>
      <xdr:row>43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0D6AAF-E6A7-3510-527C-905A589FF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zoomScale="111" zoomScaleNormal="100" workbookViewId="0">
      <selection activeCell="B5" sqref="B5"/>
    </sheetView>
  </sheetViews>
  <sheetFormatPr defaultColWidth="8.77734375" defaultRowHeight="14.4" x14ac:dyDescent="0.3"/>
  <cols>
    <col min="4" max="4" width="14.21875" bestFit="1" customWidth="1"/>
    <col min="5" max="5" width="13.21875" bestFit="1" customWidth="1"/>
    <col min="6" max="6" width="17.88671875" bestFit="1" customWidth="1"/>
    <col min="7" max="7" width="11.5546875" bestFit="1" customWidth="1"/>
    <col min="8" max="9" width="19.21875" bestFit="1" customWidth="1"/>
    <col min="10" max="12" width="22.88671875" bestFit="1" customWidth="1"/>
    <col min="13" max="14" width="17" bestFit="1" customWidth="1"/>
    <col min="17" max="17" width="12.109375" bestFit="1" customWidth="1"/>
    <col min="18" max="18" width="11.109375" bestFit="1" customWidth="1"/>
    <col min="19" max="20" width="11.109375" customWidth="1"/>
    <col min="21" max="21" width="11.6640625" bestFit="1" customWidth="1"/>
    <col min="22" max="23" width="11.6640625" customWidth="1"/>
    <col min="24" max="24" width="10.6640625" bestFit="1" customWidth="1"/>
    <col min="25" max="26" width="10.6640625" customWidth="1"/>
    <col min="27" max="27" width="12.109375" bestFit="1" customWidth="1"/>
  </cols>
  <sheetData>
    <row r="1" spans="1:14" x14ac:dyDescent="0.3">
      <c r="A1" t="s">
        <v>25</v>
      </c>
      <c r="B1" t="s">
        <v>26</v>
      </c>
      <c r="C1" t="s">
        <v>27</v>
      </c>
      <c r="D1" t="s">
        <v>29</v>
      </c>
      <c r="E1" t="s">
        <v>28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0</v>
      </c>
      <c r="M1" t="s">
        <v>36</v>
      </c>
      <c r="N1" t="s">
        <v>30</v>
      </c>
    </row>
    <row r="2" spans="1:14" x14ac:dyDescent="0.3">
      <c r="A2">
        <v>0</v>
      </c>
      <c r="B2" t="s">
        <v>1</v>
      </c>
      <c r="C2" t="s">
        <v>2</v>
      </c>
      <c r="D2">
        <v>3394.91</v>
      </c>
      <c r="E2">
        <v>2.8301799999999999</v>
      </c>
      <c r="F2">
        <v>779.49099999999999</v>
      </c>
      <c r="G2">
        <v>35.826700000000002</v>
      </c>
      <c r="H2">
        <v>1159.94</v>
      </c>
      <c r="I2">
        <v>1.20014</v>
      </c>
      <c r="J2">
        <v>17</v>
      </c>
      <c r="K2">
        <v>39.604599999999998</v>
      </c>
      <c r="L2">
        <v>0.60006899999999996</v>
      </c>
      <c r="M2">
        <v>196</v>
      </c>
      <c r="N2">
        <v>2.0002300000000002</v>
      </c>
    </row>
    <row r="3" spans="1:14" x14ac:dyDescent="0.3">
      <c r="A3">
        <v>0</v>
      </c>
      <c r="B3" t="s">
        <v>1</v>
      </c>
      <c r="C3" t="s">
        <v>3</v>
      </c>
      <c r="D3">
        <v>3732.95</v>
      </c>
      <c r="E3">
        <v>3.11199</v>
      </c>
      <c r="F3">
        <v>821.096</v>
      </c>
      <c r="G3">
        <v>25.120799999999999</v>
      </c>
      <c r="H3">
        <v>1095.1300000000001</v>
      </c>
      <c r="I3">
        <v>0.60006899999999996</v>
      </c>
      <c r="J3">
        <v>24</v>
      </c>
      <c r="K3">
        <v>104.41200000000001</v>
      </c>
      <c r="L3">
        <v>50.205800000000004</v>
      </c>
      <c r="M3">
        <v>254</v>
      </c>
      <c r="N3">
        <v>0.60006899999999996</v>
      </c>
    </row>
    <row r="4" spans="1:14" x14ac:dyDescent="0.3">
      <c r="A4">
        <v>0</v>
      </c>
      <c r="B4" t="s">
        <v>1</v>
      </c>
      <c r="C4" t="s">
        <v>4</v>
      </c>
      <c r="D4">
        <v>2968.14</v>
      </c>
      <c r="E4">
        <v>2.4744000000000002</v>
      </c>
      <c r="F4">
        <v>751.08699999999999</v>
      </c>
      <c r="G4">
        <v>30.954699999999999</v>
      </c>
      <c r="H4">
        <v>1165.94</v>
      </c>
      <c r="I4">
        <v>0.80009300000000005</v>
      </c>
      <c r="J4">
        <v>17</v>
      </c>
      <c r="K4">
        <v>33.603900000000003</v>
      </c>
      <c r="L4">
        <v>0.60006899999999996</v>
      </c>
      <c r="M4">
        <v>196</v>
      </c>
      <c r="N4">
        <v>1.4001600000000001</v>
      </c>
    </row>
    <row r="5" spans="1:14" x14ac:dyDescent="0.3">
      <c r="A5">
        <v>0</v>
      </c>
      <c r="B5" t="s">
        <v>1</v>
      </c>
      <c r="C5" t="s">
        <v>5</v>
      </c>
      <c r="D5">
        <v>2743.04</v>
      </c>
      <c r="E5">
        <v>2.28674</v>
      </c>
      <c r="F5">
        <v>867.101</v>
      </c>
      <c r="G5">
        <v>30.312999999999999</v>
      </c>
      <c r="H5">
        <v>1099.93</v>
      </c>
      <c r="I5">
        <v>1.0001199999999999</v>
      </c>
      <c r="J5">
        <v>48</v>
      </c>
      <c r="K5">
        <v>99.611599999999996</v>
      </c>
      <c r="L5">
        <v>0.60006899999999996</v>
      </c>
      <c r="M5">
        <v>179</v>
      </c>
      <c r="N5">
        <v>1.60019</v>
      </c>
    </row>
    <row r="6" spans="1:14" x14ac:dyDescent="0.3">
      <c r="A6">
        <v>0.25</v>
      </c>
      <c r="B6" t="s">
        <v>1</v>
      </c>
      <c r="C6" t="s">
        <v>14</v>
      </c>
      <c r="D6">
        <v>1603.37</v>
      </c>
      <c r="E6">
        <v>1.3366499999999999</v>
      </c>
      <c r="F6">
        <v>657.87699999999995</v>
      </c>
      <c r="G6">
        <v>48.833399999999997</v>
      </c>
      <c r="H6">
        <v>465.25400000000002</v>
      </c>
      <c r="I6">
        <v>1.8002100000000001</v>
      </c>
      <c r="J6">
        <v>68</v>
      </c>
      <c r="K6">
        <v>734.28599999999994</v>
      </c>
      <c r="L6">
        <v>0.60006899999999996</v>
      </c>
      <c r="M6">
        <v>79</v>
      </c>
      <c r="N6">
        <v>0</v>
      </c>
    </row>
    <row r="7" spans="1:14" x14ac:dyDescent="0.3">
      <c r="A7">
        <v>0.25</v>
      </c>
      <c r="B7" t="s">
        <v>1</v>
      </c>
      <c r="C7" t="s">
        <v>15</v>
      </c>
      <c r="D7">
        <v>2468.2600000000002</v>
      </c>
      <c r="E7">
        <v>2.0600800000000001</v>
      </c>
      <c r="F7">
        <v>1033.92</v>
      </c>
      <c r="G7">
        <v>49.1203</v>
      </c>
      <c r="H7">
        <v>1020.32</v>
      </c>
      <c r="I7">
        <v>4.8005599999999999</v>
      </c>
      <c r="J7">
        <v>51</v>
      </c>
      <c r="K7">
        <v>179.221</v>
      </c>
      <c r="L7">
        <v>0.60006899999999996</v>
      </c>
      <c r="M7">
        <v>56</v>
      </c>
      <c r="N7">
        <v>9.4010899999999999</v>
      </c>
    </row>
    <row r="8" spans="1:14" x14ac:dyDescent="0.3">
      <c r="A8">
        <v>0.25</v>
      </c>
      <c r="B8" t="s">
        <v>1</v>
      </c>
      <c r="C8" t="s">
        <v>16</v>
      </c>
      <c r="D8">
        <v>5742.8</v>
      </c>
      <c r="E8">
        <v>4.7875100000000002</v>
      </c>
      <c r="F8">
        <v>785.49099999999999</v>
      </c>
      <c r="G8">
        <v>38.383099999999999</v>
      </c>
      <c r="H8">
        <v>1025.32</v>
      </c>
      <c r="I8">
        <v>1.0001199999999999</v>
      </c>
      <c r="J8">
        <v>37</v>
      </c>
      <c r="K8">
        <v>174.02</v>
      </c>
      <c r="L8">
        <v>0.80009300000000005</v>
      </c>
      <c r="M8">
        <v>241</v>
      </c>
      <c r="N8">
        <v>2.0002300000000002</v>
      </c>
    </row>
    <row r="9" spans="1:14" x14ac:dyDescent="0.3">
      <c r="A9">
        <v>0.25</v>
      </c>
      <c r="B9" t="s">
        <v>1</v>
      </c>
      <c r="C9" t="s">
        <v>17</v>
      </c>
      <c r="D9">
        <v>3429.39</v>
      </c>
      <c r="E9">
        <v>2.87378</v>
      </c>
      <c r="F9">
        <v>898.10500000000002</v>
      </c>
      <c r="G9">
        <v>39.148200000000003</v>
      </c>
      <c r="H9">
        <v>1155.93</v>
      </c>
      <c r="I9">
        <v>0.60006899999999996</v>
      </c>
      <c r="J9">
        <v>14</v>
      </c>
      <c r="K9">
        <v>43.6051</v>
      </c>
      <c r="L9">
        <v>12.6015</v>
      </c>
      <c r="M9">
        <v>170</v>
      </c>
      <c r="N9">
        <v>0</v>
      </c>
    </row>
    <row r="10" spans="1:14" x14ac:dyDescent="0.3">
      <c r="A10">
        <v>0.5</v>
      </c>
      <c r="B10" t="s">
        <v>1</v>
      </c>
      <c r="C10" t="s">
        <v>10</v>
      </c>
      <c r="D10">
        <v>1435.64</v>
      </c>
      <c r="E10">
        <v>1.19682</v>
      </c>
      <c r="F10">
        <v>851.09900000000005</v>
      </c>
      <c r="G10">
        <v>56.389299999999999</v>
      </c>
      <c r="H10">
        <v>330.839</v>
      </c>
      <c r="I10">
        <v>0.80009300000000005</v>
      </c>
      <c r="J10">
        <v>43</v>
      </c>
      <c r="K10">
        <v>868.70100000000002</v>
      </c>
      <c r="L10">
        <v>0.60006899999999996</v>
      </c>
      <c r="M10">
        <v>52</v>
      </c>
      <c r="N10">
        <v>0</v>
      </c>
    </row>
    <row r="11" spans="1:14" x14ac:dyDescent="0.3">
      <c r="A11">
        <v>0.5</v>
      </c>
      <c r="B11" t="s">
        <v>1</v>
      </c>
      <c r="C11" t="s">
        <v>11</v>
      </c>
      <c r="D11">
        <v>1337.83</v>
      </c>
      <c r="E11">
        <v>1.11528</v>
      </c>
      <c r="F11">
        <v>289.63400000000001</v>
      </c>
      <c r="G11">
        <v>38.725499999999997</v>
      </c>
      <c r="H11">
        <v>228.42699999999999</v>
      </c>
      <c r="I11">
        <v>1.0001199999999999</v>
      </c>
      <c r="J11">
        <v>39</v>
      </c>
      <c r="K11">
        <v>971.11300000000006</v>
      </c>
      <c r="L11">
        <v>0.60006899999999996</v>
      </c>
      <c r="M11">
        <v>69</v>
      </c>
      <c r="N11">
        <v>0</v>
      </c>
    </row>
    <row r="12" spans="1:14" x14ac:dyDescent="0.3">
      <c r="A12">
        <v>0.5</v>
      </c>
      <c r="B12" t="s">
        <v>1</v>
      </c>
      <c r="C12" t="s">
        <v>12</v>
      </c>
      <c r="D12">
        <v>1989.96</v>
      </c>
      <c r="E12">
        <v>1.6589400000000001</v>
      </c>
      <c r="F12">
        <v>945.31</v>
      </c>
      <c r="G12">
        <v>55.37</v>
      </c>
      <c r="H12">
        <v>687.28</v>
      </c>
      <c r="I12">
        <v>0.80009300000000005</v>
      </c>
      <c r="J12">
        <v>64</v>
      </c>
      <c r="K12">
        <v>512.26</v>
      </c>
      <c r="L12">
        <v>0.60006899999999996</v>
      </c>
      <c r="M12">
        <v>71</v>
      </c>
      <c r="N12">
        <v>3.2003699999999999</v>
      </c>
    </row>
    <row r="13" spans="1:14" x14ac:dyDescent="0.3">
      <c r="A13">
        <v>0.5</v>
      </c>
      <c r="B13" t="s">
        <v>1</v>
      </c>
      <c r="C13" t="s">
        <v>13</v>
      </c>
      <c r="D13">
        <v>1737.48</v>
      </c>
      <c r="E13">
        <v>1.4484600000000001</v>
      </c>
      <c r="F13">
        <v>618.27200000000005</v>
      </c>
      <c r="G13">
        <v>61.438400000000001</v>
      </c>
      <c r="H13">
        <v>533.66200000000003</v>
      </c>
      <c r="I13">
        <v>1.20014</v>
      </c>
      <c r="J13">
        <v>36</v>
      </c>
      <c r="K13">
        <v>665.47799999999995</v>
      </c>
      <c r="L13">
        <v>1.0001199999999999</v>
      </c>
      <c r="M13">
        <v>79</v>
      </c>
      <c r="N13">
        <v>9.4010899999999999</v>
      </c>
    </row>
    <row r="14" spans="1:14" x14ac:dyDescent="0.3">
      <c r="A14">
        <v>2</v>
      </c>
      <c r="B14" t="s">
        <v>1</v>
      </c>
      <c r="C14" t="s">
        <v>18</v>
      </c>
      <c r="D14">
        <v>3131.7</v>
      </c>
      <c r="E14">
        <v>2.6107499999999999</v>
      </c>
      <c r="F14">
        <v>506.05900000000003</v>
      </c>
      <c r="G14">
        <v>25.273700000000002</v>
      </c>
      <c r="H14">
        <v>972.11300000000006</v>
      </c>
      <c r="I14">
        <v>0.80009300000000005</v>
      </c>
      <c r="J14">
        <v>61</v>
      </c>
      <c r="K14">
        <v>227.42599999999999</v>
      </c>
      <c r="L14">
        <v>0.60006899999999996</v>
      </c>
      <c r="M14">
        <v>226</v>
      </c>
      <c r="N14">
        <v>2.2002600000000001</v>
      </c>
    </row>
    <row r="15" spans="1:14" x14ac:dyDescent="0.3">
      <c r="A15">
        <v>2</v>
      </c>
      <c r="B15" t="s">
        <v>1</v>
      </c>
      <c r="C15" t="s">
        <v>19</v>
      </c>
      <c r="D15">
        <v>215.279</v>
      </c>
      <c r="E15">
        <v>0.17946799999999999</v>
      </c>
      <c r="F15">
        <v>1132.33</v>
      </c>
      <c r="G15">
        <v>69.788799999999995</v>
      </c>
      <c r="H15">
        <v>15.2018</v>
      </c>
      <c r="I15">
        <v>427.25</v>
      </c>
      <c r="J15">
        <v>5</v>
      </c>
      <c r="K15">
        <v>1184.3399999999999</v>
      </c>
      <c r="L15">
        <v>0.60006899999999996</v>
      </c>
      <c r="M15">
        <v>8</v>
      </c>
      <c r="N15">
        <v>0</v>
      </c>
    </row>
    <row r="16" spans="1:14" x14ac:dyDescent="0.3">
      <c r="A16">
        <v>2</v>
      </c>
      <c r="B16" t="s">
        <v>1</v>
      </c>
      <c r="C16" t="s">
        <v>20</v>
      </c>
      <c r="D16">
        <v>683.30700000000002</v>
      </c>
      <c r="E16">
        <v>0.56964099999999995</v>
      </c>
      <c r="F16">
        <v>185.62200000000001</v>
      </c>
      <c r="G16">
        <v>16.5717</v>
      </c>
      <c r="H16">
        <v>31.403700000000001</v>
      </c>
      <c r="I16">
        <v>1.0001199999999999</v>
      </c>
      <c r="J16">
        <v>12</v>
      </c>
      <c r="K16">
        <v>1168.1400000000001</v>
      </c>
      <c r="L16">
        <v>0.60006899999999996</v>
      </c>
      <c r="M16">
        <v>58</v>
      </c>
      <c r="N16">
        <v>1.60019</v>
      </c>
    </row>
    <row r="17" spans="1:22" x14ac:dyDescent="0.3">
      <c r="A17">
        <v>2</v>
      </c>
      <c r="B17" t="s">
        <v>1</v>
      </c>
      <c r="C17" t="s">
        <v>21</v>
      </c>
      <c r="D17">
        <v>459.31900000000002</v>
      </c>
      <c r="E17">
        <v>0.38291199999999997</v>
      </c>
      <c r="F17">
        <v>1101.53</v>
      </c>
      <c r="G17">
        <v>15.117900000000001</v>
      </c>
      <c r="H17">
        <v>58.6068</v>
      </c>
      <c r="I17">
        <v>31.203600000000002</v>
      </c>
      <c r="J17">
        <v>10</v>
      </c>
      <c r="K17">
        <v>1140.93</v>
      </c>
      <c r="L17">
        <v>0.60006899999999996</v>
      </c>
      <c r="M17">
        <v>66</v>
      </c>
      <c r="N17">
        <v>0</v>
      </c>
    </row>
    <row r="18" spans="1:22" x14ac:dyDescent="0.3">
      <c r="A18">
        <v>0</v>
      </c>
      <c r="B18" t="s">
        <v>6</v>
      </c>
      <c r="C18" t="s">
        <v>2</v>
      </c>
      <c r="D18">
        <v>2929.38</v>
      </c>
      <c r="E18">
        <v>2.4421200000000001</v>
      </c>
      <c r="F18">
        <v>1060.51</v>
      </c>
      <c r="G18">
        <v>47.213999999999999</v>
      </c>
      <c r="H18">
        <v>1012.7</v>
      </c>
      <c r="I18">
        <v>1.0001</v>
      </c>
      <c r="J18">
        <v>62</v>
      </c>
      <c r="K18">
        <v>186.81899999999999</v>
      </c>
      <c r="L18">
        <v>0.60006099999999996</v>
      </c>
      <c r="M18">
        <v>83</v>
      </c>
      <c r="N18">
        <v>0</v>
      </c>
    </row>
    <row r="19" spans="1:22" x14ac:dyDescent="0.3">
      <c r="A19">
        <v>0</v>
      </c>
      <c r="B19" t="s">
        <v>6</v>
      </c>
      <c r="C19" t="s">
        <v>3</v>
      </c>
      <c r="D19">
        <v>1851.95</v>
      </c>
      <c r="E19">
        <v>1.5444199999999999</v>
      </c>
      <c r="F19">
        <v>703.87199999999996</v>
      </c>
      <c r="G19">
        <v>39.152000000000001</v>
      </c>
      <c r="H19">
        <v>497.25099999999998</v>
      </c>
      <c r="I19">
        <v>0.80008100000000004</v>
      </c>
      <c r="J19">
        <v>34</v>
      </c>
      <c r="K19">
        <v>702.072</v>
      </c>
      <c r="L19">
        <v>11.2011</v>
      </c>
      <c r="M19">
        <v>116</v>
      </c>
      <c r="N19">
        <v>2.8002799999999999</v>
      </c>
    </row>
    <row r="20" spans="1:22" x14ac:dyDescent="0.3">
      <c r="A20">
        <v>0</v>
      </c>
      <c r="B20" t="s">
        <v>6</v>
      </c>
      <c r="C20" t="s">
        <v>4</v>
      </c>
      <c r="D20">
        <v>2496.79</v>
      </c>
      <c r="E20">
        <v>2.0814900000000001</v>
      </c>
      <c r="F20">
        <v>756.077</v>
      </c>
      <c r="G20">
        <v>29.052700000000002</v>
      </c>
      <c r="H20">
        <v>836.28499999999997</v>
      </c>
      <c r="I20">
        <v>0.80008100000000004</v>
      </c>
      <c r="J20">
        <v>43</v>
      </c>
      <c r="K20">
        <v>363.03699999999998</v>
      </c>
      <c r="L20">
        <v>260.22699999999998</v>
      </c>
      <c r="M20">
        <v>119</v>
      </c>
      <c r="N20">
        <v>3.40035</v>
      </c>
    </row>
    <row r="21" spans="1:22" x14ac:dyDescent="0.3">
      <c r="A21">
        <v>0</v>
      </c>
      <c r="B21" t="s">
        <v>6</v>
      </c>
      <c r="C21" t="s">
        <v>5</v>
      </c>
      <c r="D21">
        <v>6097.25</v>
      </c>
      <c r="E21">
        <v>5.0830599999999997</v>
      </c>
      <c r="F21">
        <v>940.89599999999996</v>
      </c>
      <c r="G21">
        <v>34.905999999999999</v>
      </c>
      <c r="H21">
        <v>1150.32</v>
      </c>
      <c r="I21">
        <v>0.60006099999999996</v>
      </c>
      <c r="J21">
        <v>15</v>
      </c>
      <c r="K21">
        <v>49.204999999999998</v>
      </c>
      <c r="L21">
        <v>14.0014</v>
      </c>
      <c r="M21">
        <v>314</v>
      </c>
      <c r="N21">
        <v>0</v>
      </c>
    </row>
    <row r="22" spans="1:22" x14ac:dyDescent="0.3">
      <c r="A22">
        <v>0.25</v>
      </c>
      <c r="B22" t="s">
        <v>6</v>
      </c>
      <c r="C22" t="s">
        <v>14</v>
      </c>
      <c r="D22">
        <v>2273.7199999999998</v>
      </c>
      <c r="E22">
        <v>1.8955200000000001</v>
      </c>
      <c r="F22">
        <v>959.09799999999996</v>
      </c>
      <c r="G22">
        <v>41.4788</v>
      </c>
      <c r="H22">
        <v>888.89099999999996</v>
      </c>
      <c r="I22">
        <v>0.60006099999999996</v>
      </c>
      <c r="J22">
        <v>73</v>
      </c>
      <c r="K22">
        <v>310.63200000000001</v>
      </c>
      <c r="L22">
        <v>27.802800000000001</v>
      </c>
      <c r="M22">
        <v>74</v>
      </c>
      <c r="N22">
        <v>0</v>
      </c>
    </row>
    <row r="23" spans="1:22" x14ac:dyDescent="0.3">
      <c r="A23">
        <v>0.25</v>
      </c>
      <c r="B23" t="s">
        <v>6</v>
      </c>
      <c r="C23" t="s">
        <v>15</v>
      </c>
      <c r="D23">
        <v>3141.92</v>
      </c>
      <c r="E23">
        <v>2.61931</v>
      </c>
      <c r="F23">
        <v>819.88400000000001</v>
      </c>
      <c r="G23">
        <v>28.157599999999999</v>
      </c>
      <c r="H23">
        <v>1138.32</v>
      </c>
      <c r="I23">
        <v>0.60006099999999996</v>
      </c>
      <c r="J23">
        <v>19</v>
      </c>
      <c r="K23">
        <v>61.206200000000003</v>
      </c>
      <c r="L23">
        <v>3.0003099999999998</v>
      </c>
      <c r="M23">
        <v>152</v>
      </c>
      <c r="N23">
        <v>34.8035</v>
      </c>
    </row>
    <row r="24" spans="1:22" x14ac:dyDescent="0.3">
      <c r="A24">
        <v>0.25</v>
      </c>
      <c r="B24" t="s">
        <v>6</v>
      </c>
      <c r="C24" t="s">
        <v>16</v>
      </c>
      <c r="D24">
        <v>2707.64</v>
      </c>
      <c r="E24">
        <v>2.25726</v>
      </c>
      <c r="F24">
        <v>635.86500000000001</v>
      </c>
      <c r="G24">
        <v>32.536999999999999</v>
      </c>
      <c r="H24">
        <v>1043.9100000000001</v>
      </c>
      <c r="I24">
        <v>1.0001</v>
      </c>
      <c r="J24">
        <v>47</v>
      </c>
      <c r="K24">
        <v>155.61600000000001</v>
      </c>
      <c r="L24">
        <v>0.60006099999999996</v>
      </c>
      <c r="M24">
        <v>157</v>
      </c>
      <c r="N24">
        <v>14.2014</v>
      </c>
    </row>
    <row r="25" spans="1:22" x14ac:dyDescent="0.3">
      <c r="A25">
        <v>0.25</v>
      </c>
      <c r="B25" t="s">
        <v>6</v>
      </c>
      <c r="C25" t="s">
        <v>17</v>
      </c>
      <c r="D25">
        <v>3857.86</v>
      </c>
      <c r="E25">
        <v>3.22207</v>
      </c>
      <c r="F25">
        <v>926.89499999999998</v>
      </c>
      <c r="G25">
        <v>46.792400000000001</v>
      </c>
      <c r="H25">
        <v>1173.52</v>
      </c>
      <c r="I25">
        <v>0.60006099999999996</v>
      </c>
      <c r="J25">
        <v>15</v>
      </c>
      <c r="K25">
        <v>26.002600000000001</v>
      </c>
      <c r="L25">
        <v>483.649</v>
      </c>
      <c r="M25">
        <v>133</v>
      </c>
      <c r="N25">
        <v>0</v>
      </c>
    </row>
    <row r="26" spans="1:22" x14ac:dyDescent="0.3">
      <c r="A26">
        <v>0.5</v>
      </c>
      <c r="B26" t="s">
        <v>6</v>
      </c>
      <c r="C26" t="s">
        <v>10</v>
      </c>
      <c r="D26">
        <v>420.92099999999999</v>
      </c>
      <c r="E26">
        <v>0.35090700000000002</v>
      </c>
      <c r="F26">
        <v>1.0001</v>
      </c>
      <c r="G26">
        <v>6.9262600000000001</v>
      </c>
      <c r="H26">
        <v>2.60026</v>
      </c>
      <c r="I26">
        <v>1.0001</v>
      </c>
      <c r="J26">
        <v>2</v>
      </c>
      <c r="K26">
        <v>1196.92</v>
      </c>
      <c r="L26">
        <v>0.60006099999999996</v>
      </c>
      <c r="M26">
        <v>1</v>
      </c>
      <c r="N26">
        <v>0</v>
      </c>
      <c r="Q26" t="s">
        <v>24</v>
      </c>
      <c r="U26" t="s">
        <v>23</v>
      </c>
    </row>
    <row r="27" spans="1:22" x14ac:dyDescent="0.3">
      <c r="A27">
        <v>0.5</v>
      </c>
      <c r="B27" t="s">
        <v>6</v>
      </c>
      <c r="C27" t="s">
        <v>11</v>
      </c>
      <c r="D27">
        <v>2450.86</v>
      </c>
      <c r="E27">
        <v>2.0432000000000001</v>
      </c>
      <c r="F27">
        <v>625.46400000000006</v>
      </c>
      <c r="G27">
        <v>28.363499999999998</v>
      </c>
      <c r="H27">
        <v>956.49800000000005</v>
      </c>
      <c r="I27">
        <v>16.8017</v>
      </c>
      <c r="J27">
        <v>86</v>
      </c>
      <c r="K27">
        <v>243.02500000000001</v>
      </c>
      <c r="L27">
        <v>0.60006099999999996</v>
      </c>
      <c r="M27">
        <v>158</v>
      </c>
      <c r="N27">
        <v>20.802099999999999</v>
      </c>
      <c r="P27">
        <v>0</v>
      </c>
      <c r="Q27">
        <f>AVERAGE(F3:F21)</f>
        <v>784.52042105263149</v>
      </c>
      <c r="R27">
        <f>STDEV(F3:F21)/SQRT(COUNT(F3:F21))</f>
        <v>58.461682105947212</v>
      </c>
      <c r="T27">
        <v>0</v>
      </c>
      <c r="U27">
        <f>AVERAGE(G3:G21)</f>
        <v>39.519657894736838</v>
      </c>
      <c r="V27">
        <f>STDEV(G3:G21)/SQRT(COUNT(G3:G21))</f>
        <v>3.4173961989764519</v>
      </c>
    </row>
    <row r="28" spans="1:22" x14ac:dyDescent="0.3">
      <c r="A28">
        <v>0.5</v>
      </c>
      <c r="B28" t="s">
        <v>6</v>
      </c>
      <c r="C28" t="s">
        <v>12</v>
      </c>
      <c r="D28">
        <v>1895.37</v>
      </c>
      <c r="E28">
        <v>1.5801000000000001</v>
      </c>
      <c r="F28">
        <v>686.47</v>
      </c>
      <c r="G28">
        <v>37.623100000000001</v>
      </c>
      <c r="H28">
        <v>671.26800000000003</v>
      </c>
      <c r="I28">
        <v>0.60006099999999996</v>
      </c>
      <c r="J28">
        <v>49</v>
      </c>
      <c r="K28">
        <v>528.25400000000002</v>
      </c>
      <c r="L28">
        <v>106.81100000000001</v>
      </c>
      <c r="M28">
        <v>95</v>
      </c>
      <c r="N28">
        <v>0.80008100000000004</v>
      </c>
      <c r="P28">
        <v>0.25</v>
      </c>
      <c r="Q28">
        <f>AVERAGE(F42:F61)</f>
        <v>695.36945000000003</v>
      </c>
      <c r="R28">
        <f>STDEV(F42:F61)/SQRT(COUNT(F42:F61))</f>
        <v>57.478340882113066</v>
      </c>
      <c r="T28">
        <v>0.25</v>
      </c>
      <c r="U28">
        <f>AVERAGE(G42:G61)</f>
        <v>33.307760000000009</v>
      </c>
      <c r="V28">
        <f>STDEV(G42:G61)/SQRT(COUNT(G42:G61))</f>
        <v>2.4107428282629031</v>
      </c>
    </row>
    <row r="29" spans="1:22" x14ac:dyDescent="0.3">
      <c r="A29">
        <v>0.5</v>
      </c>
      <c r="B29" t="s">
        <v>6</v>
      </c>
      <c r="C29" t="s">
        <v>13</v>
      </c>
      <c r="D29">
        <v>1647.46</v>
      </c>
      <c r="E29">
        <v>1.3734299999999999</v>
      </c>
      <c r="F29">
        <v>305.03100000000001</v>
      </c>
      <c r="G29">
        <v>34.032699999999998</v>
      </c>
      <c r="H29">
        <v>408.44200000000001</v>
      </c>
      <c r="I29">
        <v>3.8003900000000002</v>
      </c>
      <c r="J29">
        <v>22</v>
      </c>
      <c r="K29">
        <v>791.08100000000002</v>
      </c>
      <c r="L29">
        <v>0.60006099999999996</v>
      </c>
      <c r="M29">
        <v>101</v>
      </c>
      <c r="N29">
        <v>2.2002199999999998</v>
      </c>
      <c r="P29">
        <v>0.5</v>
      </c>
      <c r="Q29">
        <f>AVERAGE(F22:F41)</f>
        <v>635.99595999999997</v>
      </c>
      <c r="R29">
        <f>STDEV(F22:F41)/SQRT(COUNT(F22:F41))</f>
        <v>67.293519868033641</v>
      </c>
      <c r="T29">
        <v>0.5</v>
      </c>
      <c r="U29">
        <f>AVERAGE(G22:G41)</f>
        <v>34.435648</v>
      </c>
      <c r="V29">
        <f>STDEV(G22:G41)/SQRT(COUNT(G22:G41))</f>
        <v>3.0805487161165224</v>
      </c>
    </row>
    <row r="30" spans="1:22" x14ac:dyDescent="0.3">
      <c r="A30">
        <v>2</v>
      </c>
      <c r="B30" t="s">
        <v>6</v>
      </c>
      <c r="C30" t="s">
        <v>18</v>
      </c>
      <c r="D30">
        <v>707.47</v>
      </c>
      <c r="E30">
        <v>0.58979300000000001</v>
      </c>
      <c r="F30">
        <v>30.403099999999998</v>
      </c>
      <c r="G30">
        <v>19.616399999999999</v>
      </c>
      <c r="H30">
        <v>92.009399999999999</v>
      </c>
      <c r="I30">
        <v>1.2001200000000001</v>
      </c>
      <c r="J30">
        <v>7</v>
      </c>
      <c r="K30">
        <v>1107.51</v>
      </c>
      <c r="L30">
        <v>0.60006099999999996</v>
      </c>
      <c r="M30">
        <v>22</v>
      </c>
      <c r="N30">
        <v>0</v>
      </c>
    </row>
    <row r="31" spans="1:22" x14ac:dyDescent="0.3">
      <c r="A31">
        <v>2</v>
      </c>
      <c r="B31" t="s">
        <v>6</v>
      </c>
      <c r="C31" t="s">
        <v>19</v>
      </c>
      <c r="D31">
        <v>3498.1</v>
      </c>
      <c r="E31">
        <v>2.9162400000000002</v>
      </c>
      <c r="F31">
        <v>464.24700000000001</v>
      </c>
      <c r="G31">
        <v>26.037800000000001</v>
      </c>
      <c r="H31">
        <v>622.86400000000003</v>
      </c>
      <c r="I31">
        <v>6.8006900000000003</v>
      </c>
      <c r="J31">
        <v>33</v>
      </c>
      <c r="K31">
        <v>576.65899999999999</v>
      </c>
      <c r="L31">
        <v>0.60006099999999996</v>
      </c>
      <c r="M31">
        <v>167</v>
      </c>
      <c r="N31">
        <v>6.00061</v>
      </c>
    </row>
    <row r="32" spans="1:22" x14ac:dyDescent="0.3">
      <c r="A32">
        <v>2</v>
      </c>
      <c r="B32" t="s">
        <v>6</v>
      </c>
      <c r="C32" t="s">
        <v>20</v>
      </c>
      <c r="D32">
        <v>811.44100000000003</v>
      </c>
      <c r="E32">
        <v>0.67647000000000002</v>
      </c>
      <c r="F32">
        <v>328.43299999999999</v>
      </c>
      <c r="G32">
        <v>16.429500000000001</v>
      </c>
      <c r="H32">
        <v>92.009399999999999</v>
      </c>
      <c r="I32">
        <v>72.407399999999996</v>
      </c>
      <c r="J32">
        <v>14</v>
      </c>
      <c r="K32">
        <v>1107.51</v>
      </c>
      <c r="L32">
        <v>0.60006099999999996</v>
      </c>
      <c r="M32">
        <v>36</v>
      </c>
      <c r="N32">
        <v>73.207499999999996</v>
      </c>
    </row>
    <row r="33" spans="1:22" x14ac:dyDescent="0.3">
      <c r="A33">
        <v>2</v>
      </c>
      <c r="B33" t="s">
        <v>6</v>
      </c>
      <c r="C33" t="s">
        <v>21</v>
      </c>
      <c r="D33">
        <v>5455.92</v>
      </c>
      <c r="E33">
        <v>4.5484099999999996</v>
      </c>
      <c r="F33">
        <v>770.279</v>
      </c>
      <c r="G33">
        <v>24.284300000000002</v>
      </c>
      <c r="H33">
        <v>1126.71</v>
      </c>
      <c r="I33">
        <v>0.60006099999999996</v>
      </c>
      <c r="J33">
        <v>28</v>
      </c>
      <c r="K33">
        <v>72.807400000000001</v>
      </c>
      <c r="L33">
        <v>23.4024</v>
      </c>
      <c r="M33">
        <v>392</v>
      </c>
      <c r="N33">
        <v>0</v>
      </c>
    </row>
    <row r="34" spans="1:22" x14ac:dyDescent="0.3">
      <c r="A34">
        <v>0</v>
      </c>
      <c r="B34" t="s">
        <v>7</v>
      </c>
      <c r="C34" t="s">
        <v>2</v>
      </c>
      <c r="D34">
        <v>3519.35</v>
      </c>
      <c r="E34">
        <v>2.9339499999999998</v>
      </c>
      <c r="F34">
        <v>805.68499999999995</v>
      </c>
      <c r="G34">
        <v>38.089700000000001</v>
      </c>
      <c r="H34">
        <v>1153.92</v>
      </c>
      <c r="I34">
        <v>0.60006300000000001</v>
      </c>
      <c r="J34">
        <v>18</v>
      </c>
      <c r="K34">
        <v>45.604799999999997</v>
      </c>
      <c r="L34">
        <v>1.2001299999999999</v>
      </c>
      <c r="M34">
        <v>154</v>
      </c>
      <c r="N34">
        <v>0.60006300000000001</v>
      </c>
    </row>
    <row r="35" spans="1:22" x14ac:dyDescent="0.3">
      <c r="A35">
        <v>0</v>
      </c>
      <c r="B35" t="s">
        <v>7</v>
      </c>
      <c r="C35" t="s">
        <v>3</v>
      </c>
      <c r="D35">
        <v>1580.33</v>
      </c>
      <c r="E35">
        <v>1.3174600000000001</v>
      </c>
      <c r="F35">
        <v>538.25699999999995</v>
      </c>
      <c r="G35">
        <v>41.247500000000002</v>
      </c>
      <c r="H35">
        <v>415.64400000000001</v>
      </c>
      <c r="I35">
        <v>24.4026</v>
      </c>
      <c r="J35">
        <v>44</v>
      </c>
      <c r="K35">
        <v>783.48299999999995</v>
      </c>
      <c r="L35">
        <v>1.0001100000000001</v>
      </c>
      <c r="M35">
        <v>74</v>
      </c>
      <c r="N35">
        <v>25.802700000000002</v>
      </c>
    </row>
    <row r="36" spans="1:22" x14ac:dyDescent="0.3">
      <c r="A36">
        <v>0</v>
      </c>
      <c r="B36" t="s">
        <v>7</v>
      </c>
      <c r="C36" t="s">
        <v>4</v>
      </c>
      <c r="D36">
        <v>3316.97</v>
      </c>
      <c r="E36">
        <v>2.7652399999999999</v>
      </c>
      <c r="F36">
        <v>720.476</v>
      </c>
      <c r="G36">
        <v>39.469900000000003</v>
      </c>
      <c r="H36">
        <v>1027.31</v>
      </c>
      <c r="I36">
        <v>0.60006300000000001</v>
      </c>
      <c r="J36">
        <v>28</v>
      </c>
      <c r="K36">
        <v>172.21799999999999</v>
      </c>
      <c r="L36">
        <v>287.23</v>
      </c>
      <c r="M36">
        <v>148</v>
      </c>
      <c r="N36">
        <v>2.6002700000000001</v>
      </c>
    </row>
    <row r="37" spans="1:22" x14ac:dyDescent="0.3">
      <c r="A37">
        <v>0.25</v>
      </c>
      <c r="B37" t="s">
        <v>7</v>
      </c>
      <c r="C37" t="s">
        <v>14</v>
      </c>
      <c r="D37">
        <v>4856.95</v>
      </c>
      <c r="E37">
        <v>4.0490500000000003</v>
      </c>
      <c r="F37">
        <v>941.899</v>
      </c>
      <c r="G37">
        <v>71.691599999999994</v>
      </c>
      <c r="H37">
        <v>1198.33</v>
      </c>
      <c r="I37">
        <v>0.200021</v>
      </c>
      <c r="J37">
        <v>1</v>
      </c>
      <c r="K37">
        <v>1.6001700000000001</v>
      </c>
      <c r="L37">
        <v>1118.72</v>
      </c>
      <c r="M37">
        <v>166</v>
      </c>
      <c r="N37">
        <v>2.2002299999999999</v>
      </c>
    </row>
    <row r="38" spans="1:22" x14ac:dyDescent="0.3">
      <c r="A38">
        <v>0.25</v>
      </c>
      <c r="B38" t="s">
        <v>7</v>
      </c>
      <c r="C38" t="s">
        <v>15</v>
      </c>
      <c r="D38">
        <v>2392.5300000000002</v>
      </c>
      <c r="E38">
        <v>1.9945600000000001</v>
      </c>
      <c r="F38">
        <v>917.697</v>
      </c>
      <c r="G38">
        <v>36.537399999999998</v>
      </c>
      <c r="H38">
        <v>907.29600000000005</v>
      </c>
      <c r="I38">
        <v>0.60006300000000001</v>
      </c>
      <c r="J38">
        <v>73</v>
      </c>
      <c r="K38">
        <v>292.23099999999999</v>
      </c>
      <c r="L38">
        <v>126.01300000000001</v>
      </c>
      <c r="M38">
        <v>93</v>
      </c>
      <c r="N38">
        <v>0.80008400000000002</v>
      </c>
    </row>
    <row r="39" spans="1:22" x14ac:dyDescent="0.3">
      <c r="A39">
        <v>0.25</v>
      </c>
      <c r="B39" t="s">
        <v>7</v>
      </c>
      <c r="C39" t="s">
        <v>16</v>
      </c>
      <c r="D39">
        <v>2745.43</v>
      </c>
      <c r="E39">
        <v>2.2887599999999999</v>
      </c>
      <c r="F39">
        <v>914.29600000000005</v>
      </c>
      <c r="G39">
        <v>34.340699999999998</v>
      </c>
      <c r="H39">
        <v>988.30399999999997</v>
      </c>
      <c r="I39">
        <v>1.40015</v>
      </c>
      <c r="J39">
        <v>56</v>
      </c>
      <c r="K39">
        <v>211.02199999999999</v>
      </c>
      <c r="L39">
        <v>0.80008400000000002</v>
      </c>
      <c r="M39">
        <v>144</v>
      </c>
      <c r="N39">
        <v>0.40004200000000001</v>
      </c>
    </row>
    <row r="40" spans="1:22" x14ac:dyDescent="0.3">
      <c r="A40">
        <v>0.25</v>
      </c>
      <c r="B40" t="s">
        <v>7</v>
      </c>
      <c r="C40" t="s">
        <v>17</v>
      </c>
      <c r="D40">
        <v>3659.62</v>
      </c>
      <c r="E40">
        <v>3.0508799999999998</v>
      </c>
      <c r="F40">
        <v>961.101</v>
      </c>
      <c r="G40">
        <v>53.273699999999998</v>
      </c>
      <c r="H40">
        <v>1185.73</v>
      </c>
      <c r="I40">
        <v>1.0001100000000001</v>
      </c>
      <c r="J40">
        <v>8</v>
      </c>
      <c r="K40">
        <v>13.801500000000001</v>
      </c>
      <c r="L40">
        <v>0.60006300000000001</v>
      </c>
      <c r="M40">
        <v>182</v>
      </c>
      <c r="N40">
        <v>0</v>
      </c>
    </row>
    <row r="41" spans="1:22" x14ac:dyDescent="0.3">
      <c r="A41">
        <v>0.5</v>
      </c>
      <c r="B41" t="s">
        <v>7</v>
      </c>
      <c r="C41" t="s">
        <v>10</v>
      </c>
      <c r="D41">
        <v>1959.89</v>
      </c>
      <c r="E41">
        <v>1.6338900000000001</v>
      </c>
      <c r="F41">
        <v>367.43900000000002</v>
      </c>
      <c r="G41">
        <v>31.783100000000001</v>
      </c>
      <c r="H41">
        <v>584.66200000000003</v>
      </c>
      <c r="I41">
        <v>0.60006300000000001</v>
      </c>
      <c r="J41">
        <v>64</v>
      </c>
      <c r="K41">
        <v>614.86500000000001</v>
      </c>
      <c r="L41">
        <v>2.00021</v>
      </c>
      <c r="M41">
        <v>149</v>
      </c>
      <c r="N41">
        <v>32.403399999999998</v>
      </c>
      <c r="P41">
        <v>2</v>
      </c>
      <c r="Q41">
        <f>AVERAGE(F73:F92)</f>
        <v>564.13538750000009</v>
      </c>
      <c r="R41">
        <f>STDEV(F73:F92)/SQRT(COUNT(F73:F92))</f>
        <v>124.11413155369827</v>
      </c>
      <c r="T41">
        <v>2</v>
      </c>
      <c r="U41">
        <f>AVERAGE(G73:G92)</f>
        <v>24.44132875</v>
      </c>
      <c r="V41">
        <f>STDEV(G73:G92)/SQRT(COUNT(G73:G92))</f>
        <v>3.5588529107963569</v>
      </c>
    </row>
    <row r="42" spans="1:22" x14ac:dyDescent="0.3">
      <c r="A42">
        <v>0.5</v>
      </c>
      <c r="B42" t="s">
        <v>7</v>
      </c>
      <c r="C42" t="s">
        <v>11</v>
      </c>
      <c r="D42">
        <v>2588.35</v>
      </c>
      <c r="E42">
        <v>2.15781</v>
      </c>
      <c r="F42">
        <v>658.06899999999996</v>
      </c>
      <c r="G42">
        <v>25.498100000000001</v>
      </c>
      <c r="H42">
        <v>852.89</v>
      </c>
      <c r="I42">
        <v>15.201599999999999</v>
      </c>
      <c r="J42">
        <v>27</v>
      </c>
      <c r="K42">
        <v>346.637</v>
      </c>
      <c r="L42">
        <v>0.60006300000000001</v>
      </c>
      <c r="M42">
        <v>135</v>
      </c>
      <c r="N42">
        <v>15.8017</v>
      </c>
    </row>
    <row r="43" spans="1:22" x14ac:dyDescent="0.3">
      <c r="A43">
        <v>0.5</v>
      </c>
      <c r="B43" t="s">
        <v>7</v>
      </c>
      <c r="C43" t="s">
        <v>12</v>
      </c>
      <c r="D43">
        <v>2712.2</v>
      </c>
      <c r="E43">
        <v>2.2610600000000001</v>
      </c>
      <c r="F43">
        <v>898.69500000000005</v>
      </c>
      <c r="G43">
        <v>50.443800000000003</v>
      </c>
      <c r="H43">
        <v>929.298</v>
      </c>
      <c r="I43">
        <v>5.6005900000000004</v>
      </c>
      <c r="J43">
        <v>57</v>
      </c>
      <c r="K43">
        <v>270.22899999999998</v>
      </c>
      <c r="L43">
        <v>0.60006300000000001</v>
      </c>
      <c r="M43">
        <v>85</v>
      </c>
      <c r="N43">
        <v>6.2006500000000004</v>
      </c>
    </row>
    <row r="44" spans="1:22" x14ac:dyDescent="0.3">
      <c r="A44">
        <v>0.5</v>
      </c>
      <c r="B44" t="s">
        <v>7</v>
      </c>
      <c r="C44" t="s">
        <v>13</v>
      </c>
      <c r="D44">
        <v>5282.84</v>
      </c>
      <c r="E44">
        <v>4.4040999999999997</v>
      </c>
      <c r="F44">
        <v>863.29100000000005</v>
      </c>
      <c r="G44">
        <v>31.3429</v>
      </c>
      <c r="H44">
        <v>1034.1099999999999</v>
      </c>
      <c r="I44">
        <v>0.60006300000000001</v>
      </c>
      <c r="J44">
        <v>38</v>
      </c>
      <c r="K44">
        <v>165.417</v>
      </c>
      <c r="L44">
        <v>126.01300000000001</v>
      </c>
      <c r="M44">
        <v>243</v>
      </c>
      <c r="N44">
        <v>0</v>
      </c>
    </row>
    <row r="45" spans="1:22" x14ac:dyDescent="0.3">
      <c r="A45">
        <v>2</v>
      </c>
      <c r="B45" t="s">
        <v>7</v>
      </c>
      <c r="C45" t="s">
        <v>18</v>
      </c>
      <c r="D45">
        <v>927.47199999999998</v>
      </c>
      <c r="E45">
        <v>0.77319800000000005</v>
      </c>
      <c r="F45">
        <v>391.64100000000002</v>
      </c>
      <c r="G45">
        <v>23.543600000000001</v>
      </c>
      <c r="H45">
        <v>106.211</v>
      </c>
      <c r="I45">
        <v>39.404200000000003</v>
      </c>
      <c r="J45">
        <v>17</v>
      </c>
      <c r="K45">
        <v>1093.32</v>
      </c>
      <c r="L45">
        <v>0.60006300000000001</v>
      </c>
      <c r="M45">
        <v>39</v>
      </c>
      <c r="N45">
        <v>45.604799999999997</v>
      </c>
    </row>
    <row r="46" spans="1:22" x14ac:dyDescent="0.3">
      <c r="A46">
        <v>2</v>
      </c>
      <c r="B46" t="s">
        <v>7</v>
      </c>
      <c r="C46" t="s">
        <v>19</v>
      </c>
      <c r="D46">
        <v>3015.65</v>
      </c>
      <c r="E46">
        <v>2.5140400000000001</v>
      </c>
      <c r="F46">
        <v>595.06299999999999</v>
      </c>
      <c r="G46">
        <v>22.4068</v>
      </c>
      <c r="H46">
        <v>799.68399999999997</v>
      </c>
      <c r="I46">
        <v>0.60006300000000001</v>
      </c>
      <c r="J46">
        <v>74</v>
      </c>
      <c r="K46">
        <v>399.84199999999998</v>
      </c>
      <c r="L46">
        <v>4.2004400000000004</v>
      </c>
      <c r="M46">
        <v>270</v>
      </c>
      <c r="N46">
        <v>0.60006300000000001</v>
      </c>
    </row>
    <row r="47" spans="1:22" x14ac:dyDescent="0.3">
      <c r="A47">
        <v>2</v>
      </c>
      <c r="B47" t="s">
        <v>7</v>
      </c>
      <c r="C47" t="s">
        <v>20</v>
      </c>
      <c r="D47">
        <v>1921.11</v>
      </c>
      <c r="E47">
        <v>1.60155</v>
      </c>
      <c r="F47">
        <v>487.25099999999998</v>
      </c>
      <c r="G47">
        <v>38.565300000000001</v>
      </c>
      <c r="H47">
        <v>517.45500000000004</v>
      </c>
      <c r="I47">
        <v>2.8002899999999999</v>
      </c>
      <c r="J47">
        <v>81</v>
      </c>
      <c r="K47">
        <v>682.072</v>
      </c>
      <c r="L47">
        <v>0.60006300000000001</v>
      </c>
      <c r="M47">
        <v>163</v>
      </c>
      <c r="N47">
        <v>0</v>
      </c>
    </row>
    <row r="48" spans="1:22" x14ac:dyDescent="0.3">
      <c r="A48">
        <v>2</v>
      </c>
      <c r="B48" t="s">
        <v>7</v>
      </c>
      <c r="C48" t="s">
        <v>21</v>
      </c>
      <c r="D48">
        <v>413.48700000000002</v>
      </c>
      <c r="E48">
        <v>0.34470899999999999</v>
      </c>
      <c r="F48">
        <v>0</v>
      </c>
      <c r="G48">
        <v>12.296799999999999</v>
      </c>
      <c r="H48">
        <v>27.002800000000001</v>
      </c>
      <c r="I48">
        <v>0.60006300000000001</v>
      </c>
      <c r="J48">
        <v>6</v>
      </c>
      <c r="K48">
        <v>1172.52</v>
      </c>
      <c r="L48">
        <v>6.0006300000000001</v>
      </c>
      <c r="M48">
        <v>0</v>
      </c>
      <c r="N48" t="s">
        <v>22</v>
      </c>
    </row>
    <row r="49" spans="1:14" x14ac:dyDescent="0.3">
      <c r="A49">
        <v>0</v>
      </c>
      <c r="B49" t="s">
        <v>8</v>
      </c>
      <c r="C49" t="s">
        <v>2</v>
      </c>
      <c r="D49">
        <v>6938.95</v>
      </c>
      <c r="E49">
        <v>5.7865900000000003</v>
      </c>
      <c r="F49">
        <v>1035.32</v>
      </c>
      <c r="G49">
        <v>37.2423</v>
      </c>
      <c r="H49">
        <v>1014.52</v>
      </c>
      <c r="I49">
        <v>0.60006999999999999</v>
      </c>
      <c r="J49">
        <v>2</v>
      </c>
      <c r="K49">
        <v>185.02199999999999</v>
      </c>
      <c r="L49">
        <v>932.51</v>
      </c>
      <c r="M49">
        <v>178</v>
      </c>
      <c r="N49">
        <v>2.6003099999999999</v>
      </c>
    </row>
    <row r="50" spans="1:14" x14ac:dyDescent="0.3">
      <c r="A50">
        <v>0</v>
      </c>
      <c r="B50" t="s">
        <v>8</v>
      </c>
      <c r="C50" t="s">
        <v>3</v>
      </c>
      <c r="D50">
        <v>2686.19</v>
      </c>
      <c r="E50">
        <v>2.23935</v>
      </c>
      <c r="F50">
        <v>618.07299999999998</v>
      </c>
      <c r="G50">
        <v>26.269400000000001</v>
      </c>
      <c r="H50">
        <v>1023.32</v>
      </c>
      <c r="I50">
        <v>0.80009399999999997</v>
      </c>
      <c r="J50">
        <v>58</v>
      </c>
      <c r="K50">
        <v>176.221</v>
      </c>
      <c r="L50">
        <v>0.60006999999999999</v>
      </c>
      <c r="M50">
        <v>119</v>
      </c>
      <c r="N50">
        <v>77.209100000000007</v>
      </c>
    </row>
    <row r="51" spans="1:14" x14ac:dyDescent="0.3">
      <c r="A51">
        <v>0</v>
      </c>
      <c r="B51" t="s">
        <v>8</v>
      </c>
      <c r="C51" t="s">
        <v>4</v>
      </c>
      <c r="D51">
        <v>3737.15</v>
      </c>
      <c r="E51">
        <v>3.1154799999999998</v>
      </c>
      <c r="F51">
        <v>965.31399999999996</v>
      </c>
      <c r="G51">
        <v>31.464500000000001</v>
      </c>
      <c r="H51">
        <v>1162.1400000000001</v>
      </c>
      <c r="I51">
        <v>1.60019</v>
      </c>
      <c r="J51">
        <v>18</v>
      </c>
      <c r="K51">
        <v>37.404400000000003</v>
      </c>
      <c r="L51">
        <v>0.60006999999999999</v>
      </c>
      <c r="M51">
        <v>120</v>
      </c>
      <c r="N51">
        <v>5.4006400000000001</v>
      </c>
    </row>
    <row r="52" spans="1:14" x14ac:dyDescent="0.3">
      <c r="A52">
        <v>0</v>
      </c>
      <c r="B52" t="s">
        <v>8</v>
      </c>
      <c r="C52" t="s">
        <v>5</v>
      </c>
      <c r="D52">
        <v>2171.66</v>
      </c>
      <c r="E52">
        <v>1.8104100000000001</v>
      </c>
      <c r="F52">
        <v>809.09500000000003</v>
      </c>
      <c r="G52">
        <v>37.7425</v>
      </c>
      <c r="H52">
        <v>760.09</v>
      </c>
      <c r="I52">
        <v>37.2044</v>
      </c>
      <c r="J52">
        <v>41</v>
      </c>
      <c r="K52">
        <v>439.452</v>
      </c>
      <c r="L52">
        <v>0.60006999999999999</v>
      </c>
      <c r="M52">
        <v>102</v>
      </c>
      <c r="N52">
        <v>62.607399999999998</v>
      </c>
    </row>
    <row r="53" spans="1:14" x14ac:dyDescent="0.3">
      <c r="A53">
        <v>0.25</v>
      </c>
      <c r="B53" t="s">
        <v>8</v>
      </c>
      <c r="C53" t="s">
        <v>14</v>
      </c>
      <c r="D53">
        <v>2872.12</v>
      </c>
      <c r="E53">
        <v>2.3943500000000002</v>
      </c>
      <c r="F53">
        <v>725.08600000000001</v>
      </c>
      <c r="G53">
        <v>42.3979</v>
      </c>
      <c r="H53">
        <v>1103.33</v>
      </c>
      <c r="I53">
        <v>0.20002300000000001</v>
      </c>
      <c r="J53">
        <v>30</v>
      </c>
      <c r="K53">
        <v>96.611400000000003</v>
      </c>
      <c r="L53">
        <v>30.003499999999999</v>
      </c>
      <c r="M53">
        <v>191</v>
      </c>
      <c r="N53">
        <v>3.4003999999999999</v>
      </c>
    </row>
    <row r="54" spans="1:14" x14ac:dyDescent="0.3">
      <c r="A54">
        <v>0.25</v>
      </c>
      <c r="B54" t="s">
        <v>8</v>
      </c>
      <c r="C54" t="s">
        <v>15</v>
      </c>
      <c r="D54">
        <v>4082.49</v>
      </c>
      <c r="E54">
        <v>3.4033799999999998</v>
      </c>
      <c r="F54">
        <v>920.30899999999997</v>
      </c>
      <c r="G54">
        <v>58.152099999999997</v>
      </c>
      <c r="H54">
        <v>1179.54</v>
      </c>
      <c r="I54">
        <v>0.80009399999999997</v>
      </c>
      <c r="J54">
        <v>13</v>
      </c>
      <c r="K54">
        <v>20.002400000000002</v>
      </c>
      <c r="L54">
        <v>0.60006999999999999</v>
      </c>
      <c r="M54">
        <v>109</v>
      </c>
      <c r="N54">
        <v>2.8003300000000002</v>
      </c>
    </row>
    <row r="55" spans="1:14" x14ac:dyDescent="0.3">
      <c r="A55">
        <v>0.25</v>
      </c>
      <c r="B55" t="s">
        <v>8</v>
      </c>
      <c r="C55" t="s">
        <v>16</v>
      </c>
      <c r="D55">
        <v>5868.17</v>
      </c>
      <c r="E55">
        <v>4.89201</v>
      </c>
      <c r="F55">
        <v>816.096</v>
      </c>
      <c r="G55">
        <v>35.290900000000001</v>
      </c>
      <c r="H55">
        <v>1189.94</v>
      </c>
      <c r="I55">
        <v>0.60006999999999999</v>
      </c>
      <c r="J55">
        <v>2</v>
      </c>
      <c r="K55">
        <v>9.6011299999999995</v>
      </c>
      <c r="L55">
        <v>606.47199999999998</v>
      </c>
      <c r="M55">
        <v>284</v>
      </c>
      <c r="N55">
        <v>0</v>
      </c>
    </row>
    <row r="56" spans="1:14" x14ac:dyDescent="0.3">
      <c r="A56">
        <v>0.25</v>
      </c>
      <c r="B56" t="s">
        <v>8</v>
      </c>
      <c r="C56" t="s">
        <v>17</v>
      </c>
      <c r="D56">
        <v>3692.73</v>
      </c>
      <c r="E56">
        <v>3.0794800000000002</v>
      </c>
      <c r="F56">
        <v>957.51300000000003</v>
      </c>
      <c r="G56">
        <v>35.827199999999998</v>
      </c>
      <c r="H56">
        <v>1193.3399999999999</v>
      </c>
      <c r="I56">
        <v>0.60006999999999999</v>
      </c>
      <c r="J56">
        <v>7</v>
      </c>
      <c r="K56">
        <v>6.2007300000000001</v>
      </c>
      <c r="L56">
        <v>5.4006400000000001</v>
      </c>
      <c r="M56">
        <v>169</v>
      </c>
      <c r="N56">
        <v>0</v>
      </c>
    </row>
    <row r="57" spans="1:14" x14ac:dyDescent="0.3">
      <c r="A57">
        <v>0.5</v>
      </c>
      <c r="B57" t="s">
        <v>8</v>
      </c>
      <c r="C57" t="s">
        <v>10</v>
      </c>
      <c r="D57">
        <v>1915.97</v>
      </c>
      <c r="E57">
        <v>1.5972500000000001</v>
      </c>
      <c r="F57">
        <v>423.65</v>
      </c>
      <c r="G57">
        <v>22.481000000000002</v>
      </c>
      <c r="H57">
        <v>633.875</v>
      </c>
      <c r="I57">
        <v>0.60006999999999999</v>
      </c>
      <c r="J57">
        <v>56</v>
      </c>
      <c r="K57">
        <v>565.66700000000003</v>
      </c>
      <c r="L57">
        <v>37.804499999999997</v>
      </c>
      <c r="M57">
        <v>112</v>
      </c>
      <c r="N57">
        <v>0</v>
      </c>
    </row>
    <row r="58" spans="1:14" x14ac:dyDescent="0.3">
      <c r="A58">
        <v>0.5</v>
      </c>
      <c r="B58" t="s">
        <v>8</v>
      </c>
      <c r="C58" t="s">
        <v>11</v>
      </c>
      <c r="D58">
        <v>2148.92</v>
      </c>
      <c r="E58">
        <v>1.79145</v>
      </c>
      <c r="F58">
        <v>838.09900000000005</v>
      </c>
      <c r="G58">
        <v>33.4069</v>
      </c>
      <c r="H58">
        <v>851.7</v>
      </c>
      <c r="I58">
        <v>1.0001199999999999</v>
      </c>
      <c r="J58">
        <v>62</v>
      </c>
      <c r="K58">
        <v>347.84100000000001</v>
      </c>
      <c r="L58">
        <v>0.60006999999999999</v>
      </c>
      <c r="M58">
        <v>90</v>
      </c>
      <c r="N58">
        <v>10.6013</v>
      </c>
    </row>
    <row r="59" spans="1:14" x14ac:dyDescent="0.3">
      <c r="A59">
        <v>0.5</v>
      </c>
      <c r="B59" t="s">
        <v>8</v>
      </c>
      <c r="C59" t="s">
        <v>12</v>
      </c>
      <c r="D59">
        <v>1250.17</v>
      </c>
      <c r="E59">
        <v>1.0422100000000001</v>
      </c>
      <c r="F59">
        <v>460.05399999999997</v>
      </c>
      <c r="G59">
        <v>21.869399999999999</v>
      </c>
      <c r="H59">
        <v>262.23099999999999</v>
      </c>
      <c r="I59">
        <v>5.2006100000000002</v>
      </c>
      <c r="J59">
        <v>40</v>
      </c>
      <c r="K59">
        <v>937.31100000000004</v>
      </c>
      <c r="L59">
        <v>0.60006999999999999</v>
      </c>
      <c r="M59">
        <v>77</v>
      </c>
      <c r="N59">
        <v>3.0003500000000001</v>
      </c>
    </row>
    <row r="60" spans="1:14" x14ac:dyDescent="0.3">
      <c r="A60">
        <v>0.5</v>
      </c>
      <c r="B60" t="s">
        <v>8</v>
      </c>
      <c r="C60" t="s">
        <v>13</v>
      </c>
      <c r="D60">
        <v>4125.75</v>
      </c>
      <c r="E60">
        <v>3.4394399999999998</v>
      </c>
      <c r="F60">
        <v>898.70600000000002</v>
      </c>
      <c r="G60">
        <v>35.960099999999997</v>
      </c>
      <c r="H60">
        <v>1193.74</v>
      </c>
      <c r="I60">
        <v>1.0001199999999999</v>
      </c>
      <c r="J60">
        <v>6</v>
      </c>
      <c r="K60">
        <v>5.6006600000000004</v>
      </c>
      <c r="L60">
        <v>0.80009399999999997</v>
      </c>
      <c r="M60">
        <v>107</v>
      </c>
      <c r="N60">
        <v>1.8002100000000001</v>
      </c>
    </row>
    <row r="61" spans="1:14" x14ac:dyDescent="0.3">
      <c r="A61">
        <v>2</v>
      </c>
      <c r="B61" t="s">
        <v>8</v>
      </c>
      <c r="C61" t="s">
        <v>18</v>
      </c>
      <c r="D61">
        <v>4360.87</v>
      </c>
      <c r="E61">
        <v>3.6354500000000001</v>
      </c>
      <c r="F61">
        <v>546.06399999999996</v>
      </c>
      <c r="G61">
        <v>43.953699999999998</v>
      </c>
      <c r="H61">
        <v>945.71199999999999</v>
      </c>
      <c r="I61">
        <v>0.60006999999999999</v>
      </c>
      <c r="J61">
        <v>77</v>
      </c>
      <c r="K61">
        <v>253.83</v>
      </c>
      <c r="L61">
        <v>35.404200000000003</v>
      </c>
      <c r="M61">
        <v>273</v>
      </c>
      <c r="N61">
        <v>0</v>
      </c>
    </row>
    <row r="62" spans="1:14" x14ac:dyDescent="0.3">
      <c r="A62">
        <v>2</v>
      </c>
      <c r="B62" t="s">
        <v>8</v>
      </c>
      <c r="C62" t="s">
        <v>19</v>
      </c>
      <c r="D62">
        <v>4402.66</v>
      </c>
      <c r="E62">
        <v>3.67028</v>
      </c>
      <c r="F62">
        <v>941.71100000000001</v>
      </c>
      <c r="G62">
        <v>34.696399999999997</v>
      </c>
      <c r="H62">
        <v>680.48</v>
      </c>
      <c r="I62">
        <v>0.80009399999999997</v>
      </c>
      <c r="J62">
        <v>10</v>
      </c>
      <c r="K62">
        <v>518.86099999999999</v>
      </c>
      <c r="L62">
        <v>82.809799999999996</v>
      </c>
      <c r="M62">
        <v>206</v>
      </c>
      <c r="N62">
        <v>0.40004699999999999</v>
      </c>
    </row>
    <row r="63" spans="1:14" x14ac:dyDescent="0.3">
      <c r="A63">
        <v>2</v>
      </c>
      <c r="B63" t="s">
        <v>8</v>
      </c>
      <c r="C63" t="s">
        <v>20</v>
      </c>
      <c r="D63">
        <v>969.10299999999995</v>
      </c>
      <c r="E63">
        <v>0.807894</v>
      </c>
      <c r="F63">
        <v>72.208500000000001</v>
      </c>
      <c r="G63">
        <v>49.917499999999997</v>
      </c>
      <c r="H63">
        <v>90.410700000000006</v>
      </c>
      <c r="I63">
        <v>0.60006999999999999</v>
      </c>
      <c r="J63">
        <v>9</v>
      </c>
      <c r="K63">
        <v>1109.1300000000001</v>
      </c>
      <c r="L63">
        <v>8.4009900000000002</v>
      </c>
      <c r="M63">
        <v>25</v>
      </c>
      <c r="N63">
        <v>0.80009399999999997</v>
      </c>
    </row>
    <row r="64" spans="1:14" x14ac:dyDescent="0.3">
      <c r="A64">
        <v>2</v>
      </c>
      <c r="B64" t="s">
        <v>8</v>
      </c>
      <c r="C64" t="s">
        <v>21</v>
      </c>
      <c r="D64">
        <v>936.58500000000004</v>
      </c>
      <c r="E64">
        <v>0.78104700000000005</v>
      </c>
      <c r="F64">
        <v>87.810400000000001</v>
      </c>
      <c r="G64">
        <v>30.387799999999999</v>
      </c>
      <c r="H64">
        <v>185.422</v>
      </c>
      <c r="I64">
        <v>0.60006999999999999</v>
      </c>
      <c r="J64">
        <v>27</v>
      </c>
      <c r="K64">
        <v>1014.12</v>
      </c>
      <c r="L64">
        <v>6.8007999999999997</v>
      </c>
      <c r="M64">
        <v>69</v>
      </c>
      <c r="N64">
        <v>0</v>
      </c>
    </row>
    <row r="65" spans="1:14" x14ac:dyDescent="0.3">
      <c r="A65">
        <v>0</v>
      </c>
      <c r="B65" t="s">
        <v>9</v>
      </c>
      <c r="C65" t="s">
        <v>2</v>
      </c>
      <c r="D65">
        <v>2078.41</v>
      </c>
      <c r="E65">
        <v>1.7326900000000001</v>
      </c>
      <c r="F65">
        <v>655.47</v>
      </c>
      <c r="G65">
        <v>27.928699999999999</v>
      </c>
      <c r="H65">
        <v>733.47799999999995</v>
      </c>
      <c r="I65">
        <v>0.80008500000000005</v>
      </c>
      <c r="J65">
        <v>54</v>
      </c>
      <c r="K65">
        <v>466.05</v>
      </c>
      <c r="L65">
        <v>0.60006400000000004</v>
      </c>
      <c r="M65">
        <v>105</v>
      </c>
      <c r="N65">
        <v>109.41200000000001</v>
      </c>
    </row>
    <row r="66" spans="1:14" x14ac:dyDescent="0.3">
      <c r="A66">
        <v>0</v>
      </c>
      <c r="B66" t="s">
        <v>9</v>
      </c>
      <c r="C66" t="s">
        <v>3</v>
      </c>
      <c r="D66">
        <v>2267.21</v>
      </c>
      <c r="E66">
        <v>1.89008</v>
      </c>
      <c r="F66">
        <v>702.875</v>
      </c>
      <c r="G66">
        <v>25.250900000000001</v>
      </c>
      <c r="H66">
        <v>807.88599999999997</v>
      </c>
      <c r="I66">
        <v>1.40015</v>
      </c>
      <c r="J66">
        <v>69</v>
      </c>
      <c r="K66">
        <v>391.642</v>
      </c>
      <c r="L66">
        <v>0.60006400000000004</v>
      </c>
      <c r="M66">
        <v>137</v>
      </c>
      <c r="N66">
        <v>7.4007899999999998</v>
      </c>
    </row>
    <row r="67" spans="1:14" x14ac:dyDescent="0.3">
      <c r="A67">
        <v>0</v>
      </c>
      <c r="B67" t="s">
        <v>9</v>
      </c>
      <c r="C67" t="s">
        <v>4</v>
      </c>
      <c r="D67">
        <v>2374.94</v>
      </c>
      <c r="E67">
        <v>1.9799</v>
      </c>
      <c r="F67">
        <v>929.29899999999998</v>
      </c>
      <c r="G67">
        <v>24.177600000000002</v>
      </c>
      <c r="H67">
        <v>936.7</v>
      </c>
      <c r="I67">
        <v>1.2001299999999999</v>
      </c>
      <c r="J67">
        <v>69</v>
      </c>
      <c r="K67">
        <v>262.82799999999997</v>
      </c>
      <c r="L67">
        <v>0.60006400000000004</v>
      </c>
      <c r="M67">
        <v>113</v>
      </c>
      <c r="N67">
        <v>3.2003400000000002</v>
      </c>
    </row>
    <row r="68" spans="1:14" x14ac:dyDescent="0.3">
      <c r="A68">
        <v>0</v>
      </c>
      <c r="B68" t="s">
        <v>9</v>
      </c>
      <c r="C68" t="s">
        <v>5</v>
      </c>
      <c r="D68">
        <v>2919.26</v>
      </c>
      <c r="E68">
        <v>2.4336700000000002</v>
      </c>
      <c r="F68">
        <v>693.67399999999998</v>
      </c>
      <c r="G68">
        <v>29.1599</v>
      </c>
      <c r="H68">
        <v>1078.72</v>
      </c>
      <c r="I68">
        <v>1.2001299999999999</v>
      </c>
      <c r="J68">
        <v>50</v>
      </c>
      <c r="K68">
        <v>120.813</v>
      </c>
      <c r="L68">
        <v>0.60006400000000004</v>
      </c>
      <c r="M68">
        <v>202</v>
      </c>
      <c r="N68">
        <v>0</v>
      </c>
    </row>
    <row r="69" spans="1:14" x14ac:dyDescent="0.3">
      <c r="A69">
        <v>0.25</v>
      </c>
      <c r="B69" t="s">
        <v>9</v>
      </c>
      <c r="C69" t="s">
        <v>14</v>
      </c>
      <c r="D69">
        <v>932.76300000000003</v>
      </c>
      <c r="E69">
        <v>0.77734800000000004</v>
      </c>
      <c r="F69">
        <v>562.05999999999995</v>
      </c>
      <c r="G69">
        <v>18.355899999999998</v>
      </c>
      <c r="H69">
        <v>57.006100000000004</v>
      </c>
      <c r="I69">
        <v>10.601100000000001</v>
      </c>
      <c r="J69">
        <v>19</v>
      </c>
      <c r="K69">
        <v>1142.92</v>
      </c>
      <c r="L69">
        <v>0.200021</v>
      </c>
      <c r="M69">
        <v>65</v>
      </c>
      <c r="N69">
        <v>10.601100000000001</v>
      </c>
    </row>
    <row r="70" spans="1:14" x14ac:dyDescent="0.3">
      <c r="A70">
        <v>0.25</v>
      </c>
      <c r="B70" t="s">
        <v>9</v>
      </c>
      <c r="C70" t="s">
        <v>15</v>
      </c>
      <c r="D70">
        <v>2438</v>
      </c>
      <c r="E70">
        <v>2.03247</v>
      </c>
      <c r="F70">
        <v>738.67899999999997</v>
      </c>
      <c r="G70">
        <v>23.540299999999998</v>
      </c>
      <c r="H70">
        <v>932.9</v>
      </c>
      <c r="I70">
        <v>1.6001700000000001</v>
      </c>
      <c r="J70">
        <v>62</v>
      </c>
      <c r="K70">
        <v>266.42899999999997</v>
      </c>
      <c r="L70">
        <v>0.80008500000000005</v>
      </c>
      <c r="M70">
        <v>100</v>
      </c>
      <c r="N70">
        <v>36.203899999999997</v>
      </c>
    </row>
    <row r="71" spans="1:14" x14ac:dyDescent="0.3">
      <c r="A71">
        <v>0.25</v>
      </c>
      <c r="B71" t="s">
        <v>9</v>
      </c>
      <c r="C71" t="s">
        <v>16</v>
      </c>
      <c r="D71">
        <v>2156.08</v>
      </c>
      <c r="E71">
        <v>1.7974399999999999</v>
      </c>
      <c r="F71">
        <v>609.86500000000001</v>
      </c>
      <c r="G71">
        <v>33.217700000000001</v>
      </c>
      <c r="H71">
        <v>601.86400000000003</v>
      </c>
      <c r="I71">
        <v>1.40015</v>
      </c>
      <c r="J71">
        <v>18</v>
      </c>
      <c r="K71">
        <v>597.46400000000006</v>
      </c>
      <c r="L71">
        <v>0.80008500000000005</v>
      </c>
      <c r="M71">
        <v>70</v>
      </c>
      <c r="N71">
        <v>0</v>
      </c>
    </row>
    <row r="72" spans="1:14" x14ac:dyDescent="0.3">
      <c r="A72">
        <v>0.25</v>
      </c>
      <c r="B72" t="s">
        <v>9</v>
      </c>
      <c r="C72" t="s">
        <v>17</v>
      </c>
      <c r="D72">
        <v>3436.23</v>
      </c>
      <c r="E72">
        <v>2.8636900000000001</v>
      </c>
      <c r="F72">
        <v>909.89700000000005</v>
      </c>
      <c r="G72">
        <v>48.189100000000003</v>
      </c>
      <c r="H72">
        <v>1158.52</v>
      </c>
      <c r="I72">
        <v>0.200021</v>
      </c>
      <c r="J72">
        <v>24</v>
      </c>
      <c r="K72">
        <v>41.404400000000003</v>
      </c>
      <c r="L72">
        <v>11.2012</v>
      </c>
      <c r="M72">
        <v>134</v>
      </c>
      <c r="N72">
        <v>0</v>
      </c>
    </row>
    <row r="73" spans="1:14" x14ac:dyDescent="0.3">
      <c r="A73">
        <v>0.5</v>
      </c>
      <c r="B73" t="s">
        <v>9</v>
      </c>
      <c r="C73" t="s">
        <v>10</v>
      </c>
      <c r="D73">
        <v>2942.2</v>
      </c>
      <c r="E73">
        <v>2.4527999999999999</v>
      </c>
      <c r="F73">
        <v>803.08600000000001</v>
      </c>
      <c r="G73">
        <v>32.733800000000002</v>
      </c>
      <c r="H73">
        <v>1143.32</v>
      </c>
      <c r="I73">
        <v>4.20045</v>
      </c>
      <c r="J73">
        <v>31</v>
      </c>
      <c r="K73">
        <v>56.206000000000003</v>
      </c>
      <c r="L73">
        <v>0.60006400000000004</v>
      </c>
      <c r="M73">
        <v>182</v>
      </c>
      <c r="N73">
        <v>6.0006399999999998</v>
      </c>
    </row>
    <row r="74" spans="1:14" x14ac:dyDescent="0.3">
      <c r="A74">
        <v>0.5</v>
      </c>
      <c r="B74" t="s">
        <v>9</v>
      </c>
      <c r="C74" t="s">
        <v>11</v>
      </c>
      <c r="D74">
        <v>3110.52</v>
      </c>
      <c r="E74">
        <v>2.5931199999999999</v>
      </c>
      <c r="F74">
        <v>837.49</v>
      </c>
      <c r="G74">
        <v>31.139399999999998</v>
      </c>
      <c r="H74">
        <v>1108.52</v>
      </c>
      <c r="I74">
        <v>0.60006400000000004</v>
      </c>
      <c r="J74">
        <v>24</v>
      </c>
      <c r="K74">
        <v>91.009699999999995</v>
      </c>
      <c r="L74">
        <v>79.208500000000001</v>
      </c>
      <c r="M74">
        <v>163</v>
      </c>
      <c r="N74">
        <v>0.60006400000000004</v>
      </c>
    </row>
    <row r="75" spans="1:14" x14ac:dyDescent="0.3">
      <c r="A75">
        <v>0.5</v>
      </c>
      <c r="B75" t="s">
        <v>9</v>
      </c>
      <c r="C75" t="s">
        <v>12</v>
      </c>
      <c r="D75">
        <v>527.96</v>
      </c>
      <c r="E75">
        <v>0.44013999999999998</v>
      </c>
      <c r="F75">
        <v>273.62900000000002</v>
      </c>
      <c r="G75">
        <v>7.01973</v>
      </c>
      <c r="H75">
        <v>7.8008300000000004</v>
      </c>
      <c r="I75">
        <v>404.84300000000002</v>
      </c>
      <c r="J75">
        <v>4</v>
      </c>
      <c r="K75">
        <v>1191.73</v>
      </c>
      <c r="L75">
        <v>0.60006400000000004</v>
      </c>
      <c r="M75">
        <v>9</v>
      </c>
      <c r="N75">
        <v>544.25800000000004</v>
      </c>
    </row>
    <row r="76" spans="1:14" x14ac:dyDescent="0.3">
      <c r="A76">
        <v>0.5</v>
      </c>
      <c r="B76" t="s">
        <v>9</v>
      </c>
      <c r="C76" t="s">
        <v>13</v>
      </c>
      <c r="D76">
        <v>2702.32</v>
      </c>
      <c r="E76">
        <v>2.2528199999999998</v>
      </c>
      <c r="F76">
        <v>766.28200000000004</v>
      </c>
      <c r="G76">
        <v>29.687799999999999</v>
      </c>
      <c r="H76">
        <v>1112.92</v>
      </c>
      <c r="I76">
        <v>1.2001299999999999</v>
      </c>
      <c r="J76">
        <v>35</v>
      </c>
      <c r="K76">
        <v>86.609300000000005</v>
      </c>
      <c r="L76">
        <v>0.60006400000000004</v>
      </c>
      <c r="M76">
        <v>138</v>
      </c>
      <c r="N76">
        <v>0</v>
      </c>
    </row>
    <row r="77" spans="1:14" x14ac:dyDescent="0.3">
      <c r="A77">
        <v>2</v>
      </c>
      <c r="B77" t="s">
        <v>9</v>
      </c>
      <c r="C77" t="s">
        <v>18</v>
      </c>
      <c r="D77">
        <v>594.45000000000005</v>
      </c>
      <c r="E77">
        <v>0.49557000000000001</v>
      </c>
      <c r="F77">
        <v>967.904</v>
      </c>
      <c r="G77">
        <v>22.512499999999999</v>
      </c>
      <c r="H77">
        <v>52.805700000000002</v>
      </c>
      <c r="I77">
        <v>62.206699999999998</v>
      </c>
      <c r="J77">
        <v>14</v>
      </c>
      <c r="K77">
        <v>1146.72</v>
      </c>
      <c r="L77">
        <v>0.60006400000000004</v>
      </c>
      <c r="M77">
        <v>151</v>
      </c>
      <c r="N77">
        <v>0</v>
      </c>
    </row>
    <row r="78" spans="1:14" x14ac:dyDescent="0.3">
      <c r="A78">
        <v>2</v>
      </c>
      <c r="B78" t="s">
        <v>9</v>
      </c>
      <c r="C78" t="s">
        <v>19</v>
      </c>
      <c r="D78">
        <v>838.52700000000004</v>
      </c>
      <c r="E78">
        <v>0.69904699999999997</v>
      </c>
      <c r="F78">
        <v>123.813</v>
      </c>
      <c r="G78">
        <v>13.366400000000001</v>
      </c>
      <c r="H78">
        <v>69.607399999999998</v>
      </c>
      <c r="I78">
        <v>130.01400000000001</v>
      </c>
      <c r="J78">
        <v>15</v>
      </c>
      <c r="K78">
        <v>1129.92</v>
      </c>
      <c r="L78">
        <v>0.60006400000000004</v>
      </c>
      <c r="M78">
        <v>105</v>
      </c>
      <c r="N78">
        <v>18.402000000000001</v>
      </c>
    </row>
    <row r="79" spans="1:14" x14ac:dyDescent="0.3">
      <c r="A79">
        <v>2</v>
      </c>
      <c r="B79" t="s">
        <v>9</v>
      </c>
      <c r="C79" t="s">
        <v>20</v>
      </c>
      <c r="D79">
        <v>4639.8599999999997</v>
      </c>
      <c r="E79">
        <v>3.8680699999999999</v>
      </c>
      <c r="F79">
        <v>665.07100000000003</v>
      </c>
      <c r="G79">
        <v>36.105200000000004</v>
      </c>
      <c r="H79">
        <v>781.08399999999995</v>
      </c>
      <c r="I79">
        <v>0.60006400000000004</v>
      </c>
      <c r="J79">
        <v>22</v>
      </c>
      <c r="K79">
        <v>418.44499999999999</v>
      </c>
      <c r="L79">
        <v>51.205500000000001</v>
      </c>
      <c r="M79">
        <v>428</v>
      </c>
      <c r="N79">
        <v>1.40015</v>
      </c>
    </row>
    <row r="80" spans="1:14" x14ac:dyDescent="0.3">
      <c r="A80">
        <v>2</v>
      </c>
      <c r="B80" t="s">
        <v>9</v>
      </c>
      <c r="C80" t="s">
        <v>21</v>
      </c>
      <c r="D80">
        <v>424.08499999999998</v>
      </c>
      <c r="E80">
        <v>0.353543</v>
      </c>
      <c r="F80">
        <v>75.808099999999996</v>
      </c>
      <c r="G80">
        <v>22.965800000000002</v>
      </c>
      <c r="H80">
        <v>14.201499999999999</v>
      </c>
      <c r="I80">
        <v>20.402200000000001</v>
      </c>
      <c r="J80">
        <v>4</v>
      </c>
      <c r="K80">
        <v>1185.33</v>
      </c>
      <c r="L80">
        <v>0.60006400000000004</v>
      </c>
      <c r="M80">
        <v>63</v>
      </c>
      <c r="N80">
        <v>52.4056</v>
      </c>
    </row>
  </sheetData>
  <sortState xmlns:xlrd2="http://schemas.microsoft.com/office/spreadsheetml/2017/richdata2" ref="A2:V80">
    <sortCondition ref="B2:B8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Molly Dobrik</cp:lastModifiedBy>
  <dcterms:created xsi:type="dcterms:W3CDTF">2025-08-20T01:20:22Z</dcterms:created>
  <dcterms:modified xsi:type="dcterms:W3CDTF">2026-03-17T13:42:59Z</dcterms:modified>
</cp:coreProperties>
</file>